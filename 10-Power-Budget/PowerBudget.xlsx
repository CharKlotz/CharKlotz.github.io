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kei\Downloads\"/>
    </mc:Choice>
  </mc:AlternateContent>
  <xr:revisionPtr revIDLastSave="0" documentId="13_ncr:1_{DC5AF2F2-5E50-4333-8CAA-C1D73DF9E2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wer Budget" sheetId="1" r:id="rId1"/>
  </sheets>
  <definedNames>
    <definedName name="_xlnm.Print_Area" localSheetId="0">'Power Budget'!$A$1:$H$46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G28" i="1"/>
  <c r="G15" i="1"/>
  <c r="G11" i="1"/>
  <c r="G10" i="1"/>
  <c r="G9" i="1"/>
  <c r="G29" i="1" l="1"/>
  <c r="G16" i="1"/>
  <c r="G18" i="1" s="1"/>
  <c r="G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<sst xmlns="http://schemas.openxmlformats.org/spreadsheetml/2006/main" count="80" uniqueCount="48">
  <si>
    <t>Team Number:</t>
  </si>
  <si>
    <t>Project Name:</t>
  </si>
  <si>
    <t>Team Member Names: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</si>
  <si>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</si>
  <si>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</si>
  <si>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</si>
  <si>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</si>
  <si>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</si>
  <si>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</si>
  <si>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</si>
  <si>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</si>
  <si>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</si>
  <si>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mA</t>
  </si>
  <si>
    <t xml:space="preserve">Subtotal </t>
  </si>
  <si>
    <t>Safety Margin</t>
  </si>
  <si>
    <t xml:space="preserve"> +3.3V Power Rail</t>
  </si>
  <si>
    <t>Total Current Required on +3.3V Rail</t>
  </si>
  <si>
    <t xml:space="preserve"> +5V - 20V</t>
  </si>
  <si>
    <t>Total Remaining Current Available on 3.3V Rail</t>
  </si>
  <si>
    <t>External Power Source 1</t>
  </si>
  <si>
    <t>Output Voltage</t>
  </si>
  <si>
    <t>Power Source 1 Selection</t>
  </si>
  <si>
    <t>Power Rails Connected to External Power Source 1</t>
  </si>
  <si>
    <t>Total Remaining Current Available on External Power Source 1</t>
  </si>
  <si>
    <t>External Supply Voltage should be determined by the dropout voltage for highest-voltage regulator (e.g., +14V for a +12V regulator).</t>
  </si>
  <si>
    <t>If you have multiple units in your design (e.g., a base unit and remote unit) then you need a separate power budget for each unit</t>
  </si>
  <si>
    <t>Supply Voltage Range</t>
  </si>
  <si>
    <t>Qty.</t>
  </si>
  <si>
    <t>Regulator</t>
  </si>
  <si>
    <t>Total Current
(mA)</t>
  </si>
  <si>
    <t>Absolute Maximum Current (mA)</t>
  </si>
  <si>
    <t>Notes:</t>
  </si>
  <si>
    <t>Invidivdual Power Budget</t>
  </si>
  <si>
    <t>EGR 314 Subterranian Rover</t>
  </si>
  <si>
    <t>Charlie, Terry, Vanessa, Keith</t>
  </si>
  <si>
    <t>3.3V Voltage Regulator</t>
  </si>
  <si>
    <t>ESP32</t>
  </si>
  <si>
    <t>OLED Display</t>
  </si>
  <si>
    <t>?????</t>
  </si>
  <si>
    <t>1965-ESP32-S3-WROOM-1-N4CT-ND</t>
  </si>
  <si>
    <t>LM2575D2T-3.3R4G</t>
  </si>
  <si>
    <t xml:space="preserve"> +3 - 3.6V</t>
  </si>
  <si>
    <t xml:space="preserve"> +4.75 - 40V</t>
  </si>
  <si>
    <t xml:space="preserve"> +3.3V</t>
  </si>
  <si>
    <t>USB Micro-B Connection</t>
  </si>
  <si>
    <t>670-2675-1-ND</t>
  </si>
  <si>
    <t>5VDC</t>
  </si>
  <si>
    <t xml:space="preserve"> +3.3V Regulator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</si>
</sst>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  <font>
      <b/>
      <sz val="12"/>
      <name val="Calibri"/>
      <family val="2"/>
    </font>
    <font>
      <sz val="12"/>
      <color rgb="FF27354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3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 applyAlignment="1">
      <alignment horizontal="center"/>
    </xf>
    <xf numFmtId="0" fontId="2" fillId="0" borderId="15" xfId="0" applyFont="1" applyBorder="1"/>
    <xf numFmtId="0" fontId="5" fillId="0" borderId="0" xfId="0" applyFont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9" fontId="2" fillId="0" borderId="17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5" fillId="3" borderId="9" xfId="0" applyFont="1" applyFill="1" applyBorder="1" applyAlignment="1">
      <alignment vertical="center"/>
    </xf>
    <xf numFmtId="0" fontId="2" fillId="0" borderId="7" xfId="0" applyFont="1" applyBorder="1" applyAlignment="1">
      <alignment horizontal="left"/>
    </xf>
    <xf numFmtId="0" fontId="5" fillId="3" borderId="19" xfId="0" applyFont="1" applyFill="1" applyBorder="1" applyAlignment="1">
      <alignment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left"/>
    </xf>
    <xf numFmtId="0" fontId="2" fillId="0" borderId="2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11" xfId="0" applyFont="1" applyBorder="1"/>
    <xf numFmtId="0" fontId="2" fillId="0" borderId="37" xfId="0" applyFont="1" applyBorder="1"/>
    <xf numFmtId="0" fontId="2" fillId="0" borderId="18" xfId="0" applyFont="1" applyBorder="1"/>
    <xf numFmtId="0" fontId="2" fillId="0" borderId="1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center" wrapText="1"/>
    </xf>
    <xf numFmtId="0" fontId="2" fillId="0" borderId="17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5" fillId="0" borderId="31" xfId="0" applyFont="1" applyBorder="1" applyAlignment="1">
      <alignment horizontal="right"/>
    </xf>
    <xf numFmtId="0" fontId="5" fillId="0" borderId="32" xfId="0" applyFont="1" applyBorder="1" applyAlignment="1">
      <alignment horizontal="right"/>
    </xf>
    <xf numFmtId="0" fontId="5" fillId="0" borderId="33" xfId="0" applyFont="1" applyBorder="1" applyAlignment="1">
      <alignment horizontal="right"/>
    </xf>
    <xf numFmtId="0" fontId="5" fillId="0" borderId="34" xfId="0" applyFont="1" applyBorder="1" applyAlignment="1">
      <alignment horizontal="right"/>
    </xf>
    <xf numFmtId="0" fontId="5" fillId="0" borderId="35" xfId="0" applyFont="1" applyBorder="1" applyAlignment="1">
      <alignment horizontal="right"/>
    </xf>
    <xf numFmtId="0" fontId="5" fillId="0" borderId="36" xfId="0" applyFont="1" applyBorder="1" applyAlignment="1">
      <alignment horizontal="right"/>
    </xf>
    <xf numFmtId="49" fontId="5" fillId="0" borderId="38" xfId="0" applyNumberFormat="1" applyFont="1" applyBorder="1" applyAlignment="1">
      <alignment horizontal="right"/>
    </xf>
    <xf numFmtId="49" fontId="5" fillId="0" borderId="11" xfId="0" applyNumberFormat="1" applyFont="1" applyBorder="1" applyAlignment="1">
      <alignment horizontal="right"/>
    </xf>
    <xf numFmtId="49" fontId="5" fillId="0" borderId="39" xfId="0" applyNumberFormat="1" applyFont="1" applyBorder="1" applyAlignment="1">
      <alignment horizontal="right"/>
    </xf>
    <xf numFmtId="0" fontId="2" fillId="0" borderId="44" xfId="0" applyFont="1" applyBorder="1" applyAlignment="1">
      <alignment wrapText="1"/>
    </xf>
    <xf numFmtId="0" fontId="2" fillId="0" borderId="3" xfId="0" applyFont="1" applyBorder="1"/>
    <xf numFmtId="0" fontId="2" fillId="0" borderId="45" xfId="0" applyFont="1" applyBorder="1"/>
    <xf numFmtId="0" fontId="2" fillId="4" borderId="26" xfId="0" applyFont="1" applyFill="1" applyBorder="1" applyAlignment="1">
      <alignment horizontal="left" wrapText="1"/>
    </xf>
    <xf numFmtId="0" fontId="2" fillId="0" borderId="27" xfId="0" applyFont="1" applyBorder="1"/>
    <xf numFmtId="0" fontId="2" fillId="0" borderId="46" xfId="0" applyFont="1" applyBorder="1"/>
    <xf numFmtId="0" fontId="3" fillId="0" borderId="15" xfId="0" applyFont="1" applyBorder="1" applyAlignment="1">
      <alignment horizontal="left" vertical="center" wrapText="1"/>
    </xf>
    <xf numFmtId="0" fontId="4" fillId="0" borderId="15" xfId="0" applyFont="1" applyBorder="1"/>
    <xf numFmtId="0" fontId="4" fillId="0" borderId="24" xfId="0" applyFont="1" applyBorder="1"/>
    <xf numFmtId="0" fontId="5" fillId="2" borderId="42" xfId="0" applyFont="1" applyFill="1" applyBorder="1"/>
    <xf numFmtId="0" fontId="2" fillId="0" borderId="41" xfId="0" applyFont="1" applyBorder="1"/>
    <xf numFmtId="49" fontId="5" fillId="0" borderId="26" xfId="0" applyNumberFormat="1" applyFont="1" applyBorder="1" applyAlignment="1">
      <alignment horizontal="right"/>
    </xf>
    <xf numFmtId="49" fontId="5" fillId="0" borderId="27" xfId="0" applyNumberFormat="1" applyFont="1" applyBorder="1" applyAlignment="1">
      <alignment horizontal="right"/>
    </xf>
    <xf numFmtId="49" fontId="5" fillId="0" borderId="28" xfId="0" applyNumberFormat="1" applyFont="1" applyBorder="1" applyAlignment="1">
      <alignment horizontal="right"/>
    </xf>
    <xf numFmtId="0" fontId="1" fillId="5" borderId="0" xfId="0" applyFont="1" applyFill="1" applyAlignment="1">
      <alignment horizontal="center"/>
    </xf>
    <xf numFmtId="0" fontId="2" fillId="5" borderId="0" xfId="0" applyFont="1" applyFill="1"/>
    <xf numFmtId="0" fontId="5" fillId="2" borderId="1" xfId="0" applyFont="1" applyFill="1" applyBorder="1" applyAlignment="1">
      <alignment wrapText="1"/>
    </xf>
    <xf numFmtId="0" fontId="4" fillId="0" borderId="4" xfId="0" applyFont="1" applyBorder="1"/>
    <xf numFmtId="0" fontId="4" fillId="0" borderId="6" xfId="0" applyFont="1" applyBorder="1"/>
    <xf numFmtId="0" fontId="6" fillId="0" borderId="3" xfId="0" applyFont="1" applyBorder="1"/>
    <xf numFmtId="0" fontId="7" fillId="0" borderId="0" xfId="0" applyFon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71"/>
  <sheetViews>
    <sheetView tabSelected="1" workbookViewId="0">
      <selection activeCell="I8" sqref="I8"/>
    </sheetView>
  </sheetViews>
  <sheetFormatPr defaultColWidth="13.5" defaultRowHeight="15.75" customHeight="1" x14ac:dyDescent="0.25"/>
  <cols>
    <col min="1" max="1" width="22.5" style="1" customWidth="1"/>
    <col min="2" max="2" width="20.125" style="1" customWidth="1"/>
    <col min="3" max="3" width="15.75" style="1" customWidth="1"/>
    <col min="4" max="4" width="11.5" style="1" customWidth="1"/>
    <col min="5" max="5" width="7.25" style="1" customWidth="1"/>
    <col min="6" max="6" width="12.375" style="5" customWidth="1"/>
    <col min="7" max="7" width="11.375" style="5" customWidth="1"/>
    <col min="8" max="8" width="9" style="5" customWidth="1"/>
    <col min="9" max="16384" width="13.5" style="1"/>
  </cols>
  <sheetData>
    <row r="1" spans="1:8" ht="30" customHeight="1" x14ac:dyDescent="0.5">
      <c r="A1" s="77" t="s">
        <v>32</v>
      </c>
      <c r="B1" s="78"/>
      <c r="C1" s="78"/>
      <c r="D1" s="78"/>
      <c r="E1" s="78"/>
      <c r="F1" s="78"/>
      <c r="G1" s="78"/>
      <c r="H1" s="78"/>
    </row>
    <row r="2" spans="1:8" ht="15" customHeight="1" x14ac:dyDescent="0.25">
      <c r="A2" s="8" t="s">
        <v>0</v>
      </c>
      <c r="B2" s="82">
        <v>306</v>
      </c>
      <c r="D2" s="2"/>
      <c r="E2" s="2"/>
    </row>
    <row r="3" spans="1:8" ht="15" customHeight="1" x14ac:dyDescent="0.25">
      <c r="A3" s="8" t="s">
        <v>1</v>
      </c>
      <c r="B3" s="9" t="s">
        <v>33</v>
      </c>
      <c r="C3" s="3"/>
      <c r="D3" s="2"/>
      <c r="E3" s="2"/>
      <c r="F3" s="2"/>
      <c r="G3" s="2"/>
      <c r="H3" s="2"/>
    </row>
    <row r="4" spans="1:8" ht="15" customHeight="1" x14ac:dyDescent="0.25">
      <c r="A4" s="8" t="s">
        <v>2</v>
      </c>
      <c r="B4" s="9" t="s">
        <v>34</v>
      </c>
      <c r="C4" s="3"/>
      <c r="D4" s="2"/>
      <c r="E4" s="2"/>
      <c r="F4" s="2"/>
      <c r="G4" s="2"/>
      <c r="H4" s="2"/>
    </row>
    <row r="5" spans="1:8" ht="15" customHeight="1" x14ac:dyDescent="0.25">
      <c r="A5" s="8" t="s">
        <v>3</v>
      </c>
      <c r="B5" s="9">
        <v>2</v>
      </c>
      <c r="C5" s="3"/>
      <c r="D5" s="2"/>
      <c r="E5" s="2"/>
      <c r="F5" s="2"/>
      <c r="G5" s="2"/>
      <c r="H5" s="2"/>
    </row>
    <row r="6" spans="1:8" ht="15" customHeight="1" x14ac:dyDescent="0.25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25">
      <c r="A7" s="79" t="s">
        <v>4</v>
      </c>
      <c r="B7" s="80"/>
      <c r="C7" s="80"/>
      <c r="D7" s="80"/>
      <c r="E7" s="80"/>
      <c r="F7" s="80"/>
      <c r="G7" s="80"/>
      <c r="H7" s="81"/>
    </row>
    <row r="8" spans="1:8" ht="48" thickBot="1" x14ac:dyDescent="0.3">
      <c r="A8" s="13" t="s">
        <v>5</v>
      </c>
      <c r="B8" s="14" t="s">
        <v>6</v>
      </c>
      <c r="C8" s="14" t="s">
        <v>7</v>
      </c>
      <c r="D8" s="15" t="s">
        <v>26</v>
      </c>
      <c r="E8" s="14" t="s">
        <v>27</v>
      </c>
      <c r="F8" s="15" t="s">
        <v>30</v>
      </c>
      <c r="G8" s="15" t="s">
        <v>29</v>
      </c>
      <c r="H8" s="14" t="s">
        <v>11</v>
      </c>
    </row>
    <row r="9" spans="1:8" ht="15" customHeight="1" x14ac:dyDescent="0.25">
      <c r="A9" s="4"/>
      <c r="B9" s="19" t="s">
        <v>35</v>
      </c>
      <c r="C9" s="83" t="s">
        <v>40</v>
      </c>
      <c r="D9" s="20" t="s">
        <v>42</v>
      </c>
      <c r="E9" s="20">
        <v>1</v>
      </c>
      <c r="F9" s="20">
        <v>1000</v>
      </c>
      <c r="G9" s="20">
        <f t="shared" ref="G9:G11" si="0">E9*F9</f>
        <v>1000</v>
      </c>
      <c r="H9" s="23" t="s">
        <v>12</v>
      </c>
    </row>
    <row r="10" spans="1:8" ht="15" customHeight="1" x14ac:dyDescent="0.25">
      <c r="A10" s="4"/>
      <c r="B10" s="21" t="s">
        <v>36</v>
      </c>
      <c r="C10" s="83" t="s">
        <v>39</v>
      </c>
      <c r="D10" s="11" t="s">
        <v>41</v>
      </c>
      <c r="E10" s="11">
        <v>1</v>
      </c>
      <c r="F10" s="11">
        <v>500</v>
      </c>
      <c r="G10" s="11">
        <f t="shared" si="0"/>
        <v>500</v>
      </c>
      <c r="H10" s="24" t="s">
        <v>12</v>
      </c>
    </row>
    <row r="11" spans="1:8" ht="15" customHeight="1" x14ac:dyDescent="0.25">
      <c r="A11" s="4"/>
      <c r="B11" s="21" t="s">
        <v>37</v>
      </c>
      <c r="C11" s="10" t="s">
        <v>38</v>
      </c>
      <c r="D11" s="11" t="s">
        <v>43</v>
      </c>
      <c r="E11" s="11">
        <v>1</v>
      </c>
      <c r="F11" s="11">
        <v>20</v>
      </c>
      <c r="G11" s="11">
        <f t="shared" si="0"/>
        <v>20</v>
      </c>
      <c r="H11" s="24" t="s">
        <v>12</v>
      </c>
    </row>
    <row r="12" spans="1:8" ht="15" customHeight="1" x14ac:dyDescent="0.25">
      <c r="A12" s="6"/>
      <c r="B12" s="9"/>
      <c r="C12" s="9"/>
      <c r="D12" s="17"/>
      <c r="E12" s="17"/>
      <c r="F12" s="17"/>
      <c r="G12" s="18"/>
      <c r="H12" s="18"/>
    </row>
    <row r="13" spans="1:8" ht="15" customHeight="1" thickBot="1" x14ac:dyDescent="0.3">
      <c r="A13" s="29" t="s">
        <v>15</v>
      </c>
      <c r="B13" s="14" t="s">
        <v>6</v>
      </c>
      <c r="C13" s="14" t="s">
        <v>7</v>
      </c>
      <c r="D13" s="15" t="s">
        <v>8</v>
      </c>
      <c r="E13" s="14" t="s">
        <v>27</v>
      </c>
      <c r="F13" s="15" t="s">
        <v>9</v>
      </c>
      <c r="G13" s="15" t="s">
        <v>10</v>
      </c>
      <c r="H13" s="14" t="s">
        <v>11</v>
      </c>
    </row>
    <row r="14" spans="1:8" ht="15" customHeight="1" x14ac:dyDescent="0.25">
      <c r="A14" s="4"/>
      <c r="B14" s="21" t="s">
        <v>37</v>
      </c>
      <c r="C14" s="10" t="s">
        <v>38</v>
      </c>
      <c r="D14" s="11" t="s">
        <v>43</v>
      </c>
      <c r="E14" s="11">
        <v>1</v>
      </c>
      <c r="F14" s="11">
        <v>20</v>
      </c>
      <c r="G14" s="12">
        <v>20</v>
      </c>
      <c r="H14" s="12" t="s">
        <v>12</v>
      </c>
    </row>
    <row r="15" spans="1:8" ht="15" customHeight="1" thickBot="1" x14ac:dyDescent="0.3">
      <c r="A15" s="4"/>
      <c r="B15" s="21" t="s">
        <v>36</v>
      </c>
      <c r="C15" s="83" t="s">
        <v>39</v>
      </c>
      <c r="D15" s="11" t="s">
        <v>41</v>
      </c>
      <c r="E15" s="11">
        <v>1</v>
      </c>
      <c r="F15" s="11">
        <v>500</v>
      </c>
      <c r="G15" s="25">
        <f t="shared" ref="G15" si="1">E15*F15</f>
        <v>500</v>
      </c>
      <c r="H15" s="25" t="s">
        <v>12</v>
      </c>
    </row>
    <row r="16" spans="1:8" ht="16.5" thickTop="1" x14ac:dyDescent="0.25">
      <c r="A16" s="4"/>
      <c r="C16" s="41"/>
      <c r="D16" s="54" t="s">
        <v>13</v>
      </c>
      <c r="E16" s="55"/>
      <c r="F16" s="56"/>
      <c r="G16" s="12">
        <f>SUM(G13:G15)</f>
        <v>520</v>
      </c>
      <c r="H16" s="12" t="s">
        <v>12</v>
      </c>
    </row>
    <row r="17" spans="1:8" ht="15" customHeight="1" thickBot="1" x14ac:dyDescent="0.3">
      <c r="A17" s="4"/>
      <c r="C17" s="42"/>
      <c r="D17" s="57" t="s">
        <v>14</v>
      </c>
      <c r="E17" s="58"/>
      <c r="F17" s="59"/>
      <c r="G17" s="26">
        <v>0.25</v>
      </c>
      <c r="H17" s="26"/>
    </row>
    <row r="18" spans="1:8" ht="15" customHeight="1" thickTop="1" x14ac:dyDescent="0.25">
      <c r="A18" s="4"/>
      <c r="B18" s="16"/>
      <c r="C18" s="42"/>
      <c r="D18" s="54" t="s">
        <v>16</v>
      </c>
      <c r="E18" s="55"/>
      <c r="F18" s="56"/>
      <c r="G18" s="12">
        <f>G16*(1+G17)</f>
        <v>650</v>
      </c>
      <c r="H18" s="12" t="s">
        <v>12</v>
      </c>
    </row>
    <row r="19" spans="1:8" ht="15" customHeight="1" thickBot="1" x14ac:dyDescent="0.3">
      <c r="A19" s="7"/>
      <c r="C19" s="40"/>
      <c r="D19" s="5"/>
      <c r="E19" s="5"/>
      <c r="G19" s="43"/>
      <c r="H19" s="17"/>
    </row>
    <row r="20" spans="1:8" ht="15" customHeight="1" thickBot="1" x14ac:dyDescent="0.3">
      <c r="A20" s="53" t="s">
        <v>28</v>
      </c>
      <c r="B20" s="19" t="s">
        <v>35</v>
      </c>
      <c r="C20" s="83" t="s">
        <v>40</v>
      </c>
      <c r="D20" s="20" t="s">
        <v>42</v>
      </c>
      <c r="E20" s="51">
        <v>1</v>
      </c>
      <c r="F20" s="20">
        <v>1000</v>
      </c>
      <c r="G20" s="51">
        <f>E20*F20</f>
        <v>1000</v>
      </c>
      <c r="H20" s="51" t="s">
        <v>12</v>
      </c>
    </row>
    <row r="21" spans="1:8" ht="15" customHeight="1" thickTop="1" x14ac:dyDescent="0.25">
      <c r="A21" s="16"/>
      <c r="B21" s="60" t="s">
        <v>18</v>
      </c>
      <c r="C21" s="61"/>
      <c r="D21" s="61"/>
      <c r="E21" s="61"/>
      <c r="F21" s="62"/>
      <c r="G21" s="12">
        <f>G20-G18</f>
        <v>350</v>
      </c>
      <c r="H21" s="12" t="s">
        <v>12</v>
      </c>
    </row>
    <row r="22" spans="1:8" ht="15" customHeight="1" thickBot="1" x14ac:dyDescent="0.3">
      <c r="A22" s="48"/>
      <c r="B22" s="48"/>
      <c r="C22" s="48"/>
      <c r="D22" s="48"/>
      <c r="E22" s="48"/>
      <c r="F22" s="49"/>
      <c r="G22" s="45"/>
      <c r="H22" s="44"/>
    </row>
    <row r="23" spans="1:8" ht="15" customHeight="1" thickBot="1" x14ac:dyDescent="0.3">
      <c r="A23" s="31" t="s">
        <v>19</v>
      </c>
      <c r="B23" s="32" t="s">
        <v>6</v>
      </c>
      <c r="C23" s="32" t="s">
        <v>7</v>
      </c>
      <c r="D23" s="33" t="s">
        <v>8</v>
      </c>
      <c r="E23" s="33" t="s">
        <v>20</v>
      </c>
      <c r="F23" s="33" t="s">
        <v>9</v>
      </c>
      <c r="G23" s="33" t="s">
        <v>10</v>
      </c>
      <c r="H23" s="34" t="s">
        <v>11</v>
      </c>
    </row>
    <row r="24" spans="1:8" ht="15" customHeight="1" x14ac:dyDescent="0.25">
      <c r="A24" s="35" t="s">
        <v>21</v>
      </c>
      <c r="B24" s="30" t="s">
        <v>44</v>
      </c>
      <c r="C24" s="83" t="s">
        <v>45</v>
      </c>
      <c r="D24" s="12" t="s">
        <v>46</v>
      </c>
      <c r="E24" s="12" t="s">
        <v>46</v>
      </c>
      <c r="F24" s="12">
        <v>900</v>
      </c>
      <c r="G24" s="12">
        <v>900</v>
      </c>
      <c r="H24" s="36" t="s">
        <v>12</v>
      </c>
    </row>
    <row r="25" spans="1:8" ht="15" customHeight="1" x14ac:dyDescent="0.25">
      <c r="A25" s="37"/>
      <c r="B25" s="28"/>
      <c r="C25" s="28"/>
      <c r="D25" s="11"/>
      <c r="E25" s="11"/>
      <c r="F25" s="11"/>
      <c r="G25" s="11"/>
      <c r="H25" s="24"/>
    </row>
    <row r="26" spans="1:8" ht="15" customHeight="1" x14ac:dyDescent="0.25">
      <c r="A26" s="69" t="s">
        <v>22</v>
      </c>
      <c r="B26" s="28"/>
      <c r="C26" s="28"/>
      <c r="D26" s="11"/>
      <c r="E26" s="11"/>
      <c r="F26" s="11"/>
      <c r="G26" s="11"/>
      <c r="H26" s="24"/>
    </row>
    <row r="27" spans="1:8" x14ac:dyDescent="0.25">
      <c r="A27" s="70"/>
      <c r="B27" s="28"/>
      <c r="C27" s="28"/>
      <c r="D27" s="11"/>
      <c r="E27" s="11"/>
      <c r="F27" s="11"/>
      <c r="G27" s="11"/>
      <c r="H27" s="24"/>
    </row>
    <row r="28" spans="1:8" ht="15" customHeight="1" thickBot="1" x14ac:dyDescent="0.3">
      <c r="A28" s="71"/>
      <c r="B28" s="50" t="s">
        <v>47</v>
      </c>
      <c r="C28" s="83" t="s">
        <v>40</v>
      </c>
      <c r="D28" s="51" t="s">
        <v>17</v>
      </c>
      <c r="E28" s="51">
        <v>1</v>
      </c>
      <c r="F28" s="51">
        <v>500</v>
      </c>
      <c r="G28" s="51">
        <f t="shared" ref="G28" si="2">E28*F28</f>
        <v>500</v>
      </c>
      <c r="H28" s="52" t="s">
        <v>12</v>
      </c>
    </row>
    <row r="29" spans="1:8" ht="15" customHeight="1" thickTop="1" thickBot="1" x14ac:dyDescent="0.3">
      <c r="A29" s="74" t="s">
        <v>23</v>
      </c>
      <c r="B29" s="75"/>
      <c r="C29" s="75"/>
      <c r="D29" s="75"/>
      <c r="E29" s="75"/>
      <c r="F29" s="76"/>
      <c r="G29" s="38">
        <f>G24-SUM(G26:G28)</f>
        <v>400</v>
      </c>
      <c r="H29" s="39" t="s">
        <v>12</v>
      </c>
    </row>
    <row r="30" spans="1:8" ht="15" customHeight="1" x14ac:dyDescent="0.25">
      <c r="F30" s="1"/>
      <c r="G30" s="1"/>
      <c r="H30" s="1"/>
    </row>
    <row r="31" spans="1:8" ht="15" customHeight="1" x14ac:dyDescent="0.25">
      <c r="F31" s="1"/>
      <c r="G31" s="1"/>
      <c r="H31" s="1"/>
    </row>
    <row r="32" spans="1:8" ht="15" customHeight="1" x14ac:dyDescent="0.25">
      <c r="F32" s="1"/>
      <c r="G32" s="1"/>
      <c r="H32" s="1"/>
    </row>
    <row r="33" spans="1:8" ht="15" customHeight="1" x14ac:dyDescent="0.25">
      <c r="F33" s="1"/>
      <c r="G33" s="1"/>
      <c r="H33" s="1"/>
    </row>
    <row r="34" spans="1:8" ht="15" customHeight="1" x14ac:dyDescent="0.25">
      <c r="F34" s="1"/>
      <c r="G34" s="1"/>
      <c r="H34" s="1"/>
    </row>
    <row r="35" spans="1:8" ht="15" customHeight="1" x14ac:dyDescent="0.25">
      <c r="F35" s="1"/>
      <c r="G35" s="1"/>
      <c r="H35" s="1"/>
    </row>
    <row r="36" spans="1:8" ht="15" customHeight="1" x14ac:dyDescent="0.25">
      <c r="F36" s="1"/>
      <c r="G36" s="1"/>
      <c r="H36" s="1"/>
    </row>
    <row r="37" spans="1:8" ht="15" customHeight="1" x14ac:dyDescent="0.25">
      <c r="F37" s="1"/>
      <c r="G37" s="1"/>
      <c r="H37" s="1"/>
    </row>
    <row r="38" spans="1:8" x14ac:dyDescent="0.25">
      <c r="F38" s="1"/>
      <c r="G38" s="1"/>
      <c r="H38" s="1"/>
    </row>
    <row r="39" spans="1:8" ht="15" customHeight="1" x14ac:dyDescent="0.25">
      <c r="F39" s="1"/>
      <c r="G39" s="1"/>
      <c r="H39" s="1"/>
    </row>
    <row r="40" spans="1:8" ht="15" customHeight="1" x14ac:dyDescent="0.25">
      <c r="F40" s="1"/>
      <c r="G40" s="1"/>
      <c r="H40" s="1"/>
    </row>
    <row r="41" spans="1:8" ht="15" customHeight="1" x14ac:dyDescent="0.25">
      <c r="F41" s="1"/>
      <c r="G41" s="1"/>
      <c r="H41" s="1"/>
    </row>
    <row r="42" spans="1:8" ht="15" customHeight="1" x14ac:dyDescent="0.25">
      <c r="F42" s="1"/>
      <c r="G42" s="1"/>
      <c r="H42" s="1"/>
    </row>
    <row r="43" spans="1:8" ht="15" customHeight="1" thickBot="1" x14ac:dyDescent="0.3">
      <c r="A43" s="16"/>
      <c r="D43" s="5"/>
      <c r="E43" s="5"/>
      <c r="F43" s="22"/>
      <c r="G43" s="27"/>
      <c r="H43" s="27"/>
    </row>
    <row r="44" spans="1:8" ht="15" customHeight="1" x14ac:dyDescent="0.25">
      <c r="A44" s="72" t="s">
        <v>31</v>
      </c>
      <c r="B44" s="73"/>
      <c r="C44" s="73"/>
      <c r="D44" s="73"/>
      <c r="E44" s="73"/>
      <c r="F44" s="73"/>
      <c r="G44" s="46"/>
      <c r="H44" s="47"/>
    </row>
    <row r="45" spans="1:8" x14ac:dyDescent="0.25">
      <c r="A45" s="63" t="s">
        <v>24</v>
      </c>
      <c r="B45" s="64"/>
      <c r="C45" s="64"/>
      <c r="D45" s="64"/>
      <c r="E45" s="64"/>
      <c r="F45" s="64"/>
      <c r="G45" s="64"/>
      <c r="H45" s="65"/>
    </row>
    <row r="46" spans="1:8" ht="15" customHeight="1" thickBot="1" x14ac:dyDescent="0.3">
      <c r="A46" s="66" t="s">
        <v>25</v>
      </c>
      <c r="B46" s="67"/>
      <c r="C46" s="67"/>
      <c r="D46" s="67"/>
      <c r="E46" s="67"/>
      <c r="F46" s="67"/>
      <c r="G46" s="67"/>
      <c r="H46" s="68"/>
    </row>
    <row r="47" spans="1:8" s="16" customFormat="1" ht="15" customHeight="1" x14ac:dyDescent="0.25">
      <c r="A47" s="1"/>
      <c r="B47" s="1"/>
      <c r="C47" s="1"/>
      <c r="D47" s="1"/>
      <c r="E47" s="1"/>
      <c r="F47" s="5"/>
      <c r="G47" s="5"/>
      <c r="H47" s="5"/>
    </row>
    <row r="48" spans="1:8" x14ac:dyDescent="0.25"/>
    <row r="49" spans="9:10" ht="15" customHeight="1" x14ac:dyDescent="0.25"/>
    <row r="50" spans="9:10" ht="15" customHeight="1" x14ac:dyDescent="0.25"/>
    <row r="51" spans="9:10" ht="15" customHeight="1" x14ac:dyDescent="0.25"/>
    <row r="52" spans="9:10" ht="15" customHeight="1" x14ac:dyDescent="0.25"/>
    <row r="53" spans="9:10" x14ac:dyDescent="0.25"/>
    <row r="54" spans="9:10" ht="15" customHeight="1" x14ac:dyDescent="0.25"/>
    <row r="55" spans="9:10" ht="15" customHeight="1" x14ac:dyDescent="0.25">
      <c r="I55" s="16"/>
    </row>
    <row r="56" spans="9:10" x14ac:dyDescent="0.25"/>
    <row r="57" spans="9:10" ht="15" customHeight="1" x14ac:dyDescent="0.25">
      <c r="J57" s="16"/>
    </row>
    <row r="58" spans="9:10" ht="15" customHeight="1" x14ac:dyDescent="0.25"/>
    <row r="59" spans="9:10" ht="15" customHeight="1" x14ac:dyDescent="0.25"/>
    <row r="60" spans="9:10" ht="15" customHeight="1" x14ac:dyDescent="0.25"/>
    <row r="61" spans="9:10" ht="15" customHeight="1" x14ac:dyDescent="0.25"/>
    <row r="62" spans="9:10" ht="15" customHeight="1" x14ac:dyDescent="0.25"/>
    <row r="63" spans="9:10" ht="15" customHeight="1" x14ac:dyDescent="0.25"/>
    <row r="64" spans="9:10" ht="15" customHeight="1" x14ac:dyDescent="0.25"/>
    <row r="65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</sheetData>
  <mergeCells count="11">
    <mergeCell ref="A1:H1"/>
    <mergeCell ref="A7:H7"/>
    <mergeCell ref="A45:H45"/>
    <mergeCell ref="A46:H46"/>
    <mergeCell ref="A26:A28"/>
    <mergeCell ref="A44:F44"/>
    <mergeCell ref="A29:F29"/>
    <mergeCell ref="D16:F16"/>
    <mergeCell ref="D17:F17"/>
    <mergeCell ref="D18:F18"/>
    <mergeCell ref="B21:F21"/>
  </mergeCells>
  <conditionalFormatting sqref="G21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fitToHeight="0" orientation="landscape" r:id="rId1"/>
  <rowBreaks count="1" manualBreakCount="1">
    <brk id="21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Klotz (Student)</cp:lastModifiedBy>
  <cp:lastPrinted>2025-08-22T22:55:28Z</cp:lastPrinted>
  <dcterms:modified xsi:type="dcterms:W3CDTF">2026-05-05T04:09:10Z</dcterms:modified>
</cp:coreProperties>
</file>